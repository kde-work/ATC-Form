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13_ncr:1_{7387070B-3DF6-40FF-985A-973D6959E518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описание калькулятора" sheetId="3" r:id="rId1"/>
    <sheet name="вид калькулятора" sheetId="2" r:id="rId2"/>
    <sheet name="тарифы Ozon без формул + лимиты" sheetId="1" r:id="rId3"/>
    <sheet name="тарифы с формулами EXCEL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tc={46181771-22FC-4F61-BB25-43C3D28B1CE6}</author>
    <author>tc={129CBF8A-5F1C-4888-8AB5-FD070033E624}</author>
    <author>tc={8F8ED6BF-C613-46EB-BB74-C61DEA826C7A}</author>
    <author>tc={96338E8B-471E-459E-8117-A43DC3B9A762}</author>
    <author>tc={062C1CFE-16A0-402B-AA80-3C4A6A639112}</author>
  </authors>
  <commentList>
    <comment ref="G8" authorId="0" shapeId="0" xr:uid="{46181771-22FC-4F61-BB25-43C3D28B1CE6}">
      <text>
        <t>[Threaded comment]
Your version of Excel allows you to read this threaded comment; however, any edits to it will get removed if the file is opened in a newer version of Excel. Learn more: https://go.microsoft.com/fwlink/?linkid=870924
Comment:
    Здесь из выпадающего меню выбирается OZON или Yandex Market</t>
      </text>
    </comment>
    <comment ref="H10" authorId="1" shapeId="0" xr:uid="{129CBF8A-5F1C-4888-8AB5-FD070033E624}">
      <text>
        <t>[Threaded comment]
Your version of Excel allows you to read this threaded comment; however, any edits to it will get removed if the file is opened in a newer version of Excel. Learn more: https://go.microsoft.com/fwlink/?linkid=870924
Comment:
    Все параметры должны быть обязательными для ввода, то есть, если какое-либо поле пустое, расчет не будет произведен</t>
      </text>
    </comment>
    <comment ref="M10" authorId="2" shapeId="0" xr:uid="{8F8ED6BF-C613-46EB-BB74-C61DEA826C7A}">
      <text>
        <t>[Threaded comment]
Your version of Excel allows you to read this threaded comment; however, any edits to it will get removed if the file is opened in a newer version of Excel. Learn more: https://go.microsoft.com/fwlink/?linkid=870924
Comment:
    Здесь выпадающий список каналов доставки (на втором листе). Клиент выбирает из выпадающего списка нужный канал доставки/ либо лучше, чтобы по введенным параметрам канал подбирался автоматически</t>
      </text>
    </comment>
    <comment ref="O10" authorId="3" shapeId="0" xr:uid="{96338E8B-471E-459E-8117-A43DC3B9A762}">
      <text>
        <t>[Threaded comment]
Your version of Excel allows you to read this threaded comment; however, any edits to it will get removed if the file is opened in a newer version of Excel. Learn more: https://go.microsoft.com/fwlink/?linkid=870924
Comment:
    Здесь автоматически выводится тариф, расчитанный по формуле по введенным параметрам</t>
      </text>
    </comment>
    <comment ref="O13" authorId="4" shapeId="0" xr:uid="{062C1CFE-16A0-402B-AA80-3C4A6A639112}">
      <text>
        <t>[Threaded comment]
Your version of Excel allows you to read this threaded comment; however, any edits to it will get removed if the file is opened in a newer version of Excel. Learn more: https://go.microsoft.com/fwlink/?linkid=870924
Comment:
    Можно добавить кнопку «расчитать»</t>
      </text>
    </comment>
  </commentList>
</comments>
</file>

<file path=xl/sharedStrings.xml><?xml version="1.0" encoding="utf-8"?>
<sst xmlns="http://schemas.openxmlformats.org/spreadsheetml/2006/main" count="249" uniqueCount="159">
  <si>
    <t>Delivery Method</t>
  </si>
  <si>
    <t>Rates (PUDO / Courier)</t>
  </si>
  <si>
    <t>Measurements, max cm</t>
  </si>
  <si>
    <t>Shipment weight limits / min g</t>
  </si>
  <si>
    <t>Shipment weight limits / max g</t>
  </si>
  <si>
    <t>Shipment cost limit / min-max 
RUB</t>
  </si>
  <si>
    <t>Shipment cost limit / min-max 
CNY</t>
  </si>
  <si>
    <t>Tarification type</t>
  </si>
  <si>
    <t>ATC Express Extra Small</t>
  </si>
  <si>
    <t>¥ 3.37 + ¥ 0.0505/1 g</t>
  </si>
  <si>
    <t>Sum of sides ≤ 90 cm, length ≤ 60 cm</t>
  </si>
  <si>
    <t>1 - 1500</t>
  </si>
  <si>
    <t>0.01 - 135</t>
  </si>
  <si>
    <t>Physical weight</t>
  </si>
  <si>
    <t>ATC Standard Extra Small</t>
  </si>
  <si>
    <t>¥ 3.37 + ¥ 0.0393/1 g</t>
  </si>
  <si>
    <t>ATC Economy Extra Small</t>
  </si>
  <si>
    <t>¥ 3.37 + ¥ 0.0281/1 g</t>
  </si>
  <si>
    <t>ATC Standard Budget</t>
  </si>
  <si>
    <t>¥ 25.83 + ¥ 0.0281/1 g</t>
  </si>
  <si>
    <t>Sum of sides ≤ 150 cm, length ≤ 60 cm</t>
  </si>
  <si>
    <t>ATC Economy Budget</t>
  </si>
  <si>
    <t>¥ 25.83 + ¥ 0.0191/1 g</t>
  </si>
  <si>
    <t>ATC Express Small</t>
  </si>
  <si>
    <t>¥ 17.97 + ¥ 0.0505/1 g</t>
  </si>
  <si>
    <t>1501 - 7000</t>
  </si>
  <si>
    <t>135. 01 - 635</t>
  </si>
  <si>
    <t>ATC Standard Small</t>
  </si>
  <si>
    <t>¥ 17.97 + ¥ 0.0393/1 g</t>
  </si>
  <si>
    <t>ATC Economy Small</t>
  </si>
  <si>
    <t>¥ 17.97 + ¥ 0.0281/1 g</t>
  </si>
  <si>
    <t>ATC Standard Big</t>
  </si>
  <si>
    <t>¥ 40.44 + ¥ 0.0281/1 g</t>
  </si>
  <si>
    <t>Sum of sides ≤ 310 cm, length ≤ 150 cm</t>
  </si>
  <si>
    <t>Max weight between the physical and volume ones</t>
  </si>
  <si>
    <t>ATC Economy Big</t>
  </si>
  <si>
    <t>¥ 40.44 + ¥ 0.0191/1 g</t>
  </si>
  <si>
    <t>ATC Express Premium Small</t>
  </si>
  <si>
    <t xml:space="preserve">	¥ 24.71 + ¥ 0.0505/1 g</t>
  </si>
  <si>
    <t>Sum of sides ≤ 250 cm, length ≤ 150 cm.</t>
  </si>
  <si>
    <t>7001 - 250 000</t>
  </si>
  <si>
    <t>635.01 - 22 525</t>
  </si>
  <si>
    <t>ATC Standard Premium Small</t>
  </si>
  <si>
    <t>¥ 24.71 + ¥ 0.0393/1 g</t>
  </si>
  <si>
    <t>ATC Economy Premium Small</t>
  </si>
  <si>
    <t>¥ 24.71 + ¥ 0.0281/1 g</t>
  </si>
  <si>
    <t>ATC Standard Premium Big</t>
  </si>
  <si>
    <t>¥ 69.64 + ¥ 0.0314/1 g</t>
  </si>
  <si>
    <t>ATC Economy Premium Big</t>
  </si>
  <si>
    <t>¥ 69.64 + ¥ 0.0258/1 g</t>
  </si>
  <si>
    <t>Order weight</t>
  </si>
  <si>
    <t>Order dimention</t>
  </si>
  <si>
    <t xml:space="preserve"> length (cm) </t>
  </si>
  <si>
    <t xml:space="preserve">Height (cm) </t>
  </si>
  <si>
    <t xml:space="preserve">Width (cm) </t>
  </si>
  <si>
    <t>ATC delivery channel</t>
  </si>
  <si>
    <t>Final Cost</t>
  </si>
  <si>
    <t xml:space="preserve"> кнопка рассчитать</t>
  </si>
  <si>
    <t>Order cost</t>
  </si>
  <si>
    <t>Калькулятор расчета стоимости доставки по каналам ATC EXPRESS</t>
  </si>
  <si>
    <t xml:space="preserve">Описание калькулятора: </t>
  </si>
  <si>
    <t>Пользовательские входные данные (ячейки для ручного заполнения):</t>
  </si>
  <si>
    <t>2. Габариты посылки: Длина (см), Ширина (см), Высота (см)</t>
  </si>
  <si>
    <t>3. Выбор канала доставки из выпадающего списка со всеми доступными вариантами ATC</t>
  </si>
  <si>
    <t>Выходные данные (автоматически рассчитываемые поля):</t>
  </si>
  <si>
    <t>1. Физический вес посылки (в граммах, g)</t>
  </si>
  <si>
    <t xml:space="preserve">Volume weight </t>
  </si>
  <si>
    <t>1. Объемный | платный вес для каналов BIG</t>
  </si>
  <si>
    <t>2. Итоговая общая стоимость доставки (юани ¥)</t>
  </si>
  <si>
    <t>3. Статус проверки лимитов / текст ошибки при превышении габаритных ограничений</t>
  </si>
  <si>
    <t>Список тарифов по каналам доставки на вкладке "тарифы без формул + лимиты"</t>
  </si>
  <si>
    <t>Формулы расчета для каждого канала в Excel</t>
  </si>
  <si>
    <t>Ячейка</t>
  </si>
  <si>
    <t>Значение</t>
  </si>
  <si>
    <t>B2</t>
  </si>
  <si>
    <t>Физический вес посылки, в граммах (г)</t>
  </si>
  <si>
    <t>B3</t>
  </si>
  <si>
    <t>Длина, см</t>
  </si>
  <si>
    <t>C3</t>
  </si>
  <si>
    <t>Ширина, см</t>
  </si>
  <si>
    <t>D3</t>
  </si>
  <si>
    <t>Высота, см</t>
  </si>
  <si>
    <t>Платный вес — для всех каналов КРОМЕ BIG (используем физический вес):</t>
  </si>
  <si>
    <t>Платный вес — только для BIG-каналов (максимум из физического и объемного):</t>
  </si>
  <si>
    <t>Формулы стоимости по каждому каналу</t>
  </si>
  <si>
    <t>Канал</t>
  </si>
  <si>
    <t>Формула Excel</t>
  </si>
  <si>
    <t>=3.37+0.0505*B2</t>
  </si>
  <si>
    <t>=3.37+0.0393*B2</t>
  </si>
  <si>
    <t>=3.37+0.0281*B2</t>
  </si>
  <si>
    <t>=25.83+0.0281*B2</t>
  </si>
  <si>
    <t>=25.83+0.0191*B2</t>
  </si>
  <si>
    <t>=17.97+0.0505*B2</t>
  </si>
  <si>
    <t>=17.97+0.0393*B2</t>
  </si>
  <si>
    <t>=17.97+0.0281*B2</t>
  </si>
  <si>
    <t>=40.44+0.0281*MAX(B2;(B3*C3*D3/12000)*1000)</t>
  </si>
  <si>
    <t>=40.44+0.0191*MAX(B2;(B3*C3*D3/12000)*1000)</t>
  </si>
  <si>
    <t>=24.71+0.0505*B2</t>
  </si>
  <si>
    <t>=24.71+0.0393*B2</t>
  </si>
  <si>
    <t>=24.71+0.0281*B2</t>
  </si>
  <si>
    <t>=69.64+0.0314*MAX(B2;(B3*C3*D3/12000)*1000)</t>
  </si>
  <si>
    <t>=69.64+0.0258*MAX(B2;(B3*C3*D3/12000)*1000)</t>
  </si>
  <si>
    <t>Общая логика: Фиксированная ставка + Ставка за грамм × Платный вес Для BIG-каналов платный вес = MAX(B2;(B3*C3*D3/12000)*1000) Для всех остальных платный вес = B2</t>
  </si>
  <si>
    <t>Extra Small (платный вес = физический = B2)</t>
  </si>
  <si>
    <t>Budget (платный вес = физический = B2)</t>
  </si>
  <si>
    <t>Small (платный вес = физический = B2)</t>
  </si>
  <si>
    <t>Big (платный вес = MAX(B2;(B3*C3*D3/12000)*1000))</t>
  </si>
  <si>
    <t>Premium Small (платный вес = физический = B2)</t>
  </si>
  <si>
    <t>Premium Big (платный вес = MAX(B2;(B3*C3*D3/12000)*1000))</t>
  </si>
  <si>
    <t xml:space="preserve">Комментарии: </t>
  </si>
  <si>
    <t>Platform</t>
  </si>
  <si>
    <t>Требуется разработать калькулятор расчета стоимости доставки для каналов ATC для 2ух платформ Озон и Яндекс Маркет, реализуемый в формате Excel‑файла, если есть еще более UX фрэндли типы автоматических расчетов тарифов, то просьба предложить. 
Пользователь вводит исходные данные по товару (пример вкладка "вид калькулятора"), выбирает: 1) сначала платформу (Ozon или Yandex Market), затем исходя из выбора подтягивается каналы доставки (у  Yandex Market 2 канала доставки АТС, у Ozon их больше), далее вводятся данные то заказу, затем система автоматически выполняет расчет стоимости, проверяет соблюдение лимитов по габаритам и выводит ошибку при их превышении на канал (у каждого канала свои лимиты по цене, весу, вкладка "тарифы без формул + лимиты").</t>
  </si>
  <si>
    <t>Язык калькулятора: английский</t>
  </si>
  <si>
    <t>OZON</t>
  </si>
  <si>
    <t>YANDEX MARKET</t>
  </si>
  <si>
    <t>Параметр</t>
  </si>
  <si>
    <t>Super Express (空运卡航)</t>
  </si>
  <si>
    <t>Express (卡航陆运)</t>
  </si>
  <si>
    <t>Тип доставки</t>
  </si>
  <si>
    <t>Авиаперевозка</t>
  </si>
  <si>
    <t>Ставка за кг</t>
  </si>
  <si>
    <t>948 ₽/кг</t>
  </si>
  <si>
    <t>787 ₽/кг</t>
  </si>
  <si>
    <t>Фиксированная ставка за заказ</t>
  </si>
  <si>
    <t>193 ₽/шт</t>
  </si>
  <si>
    <t>198 ₽/шт</t>
  </si>
  <si>
    <t>Минимальная единица тарификации</t>
  </si>
  <si>
    <t>100 г</t>
  </si>
  <si>
    <t>Важное отличие от Озон: тарифы Yandex Market указаны в рублях (₽), а не в юанях. В калькуляторе нужно отдельно выводить стоимость в рублях, и добавить поле с курсом для конвертации в юани</t>
  </si>
  <si>
    <t>авто + авиа (卡航)</t>
  </si>
  <si>
    <t>Тарификация у обоих каналов по физическому весу</t>
  </si>
  <si>
    <t>Округление веса до 100 г: Так как минимальная единица тарификации 100 г, вес нужно округлять ВВЕРХ до ближайших 100 г</t>
  </si>
  <si>
    <t xml:space="preserve">Примеры и логика расчетов по Яндекс тарифам: </t>
  </si>
  <si>
    <t>Пример 1: посылка 550 г</t>
  </si>
  <si>
    <t>Тарифицируемый вес</t>
  </si>
  <si>
    <t>Расчет</t>
  </si>
  <si>
    <t>Итог</t>
  </si>
  <si>
    <t>Super Express</t>
  </si>
  <si>
    <t>600 г = 0.6 кг</t>
  </si>
  <si>
    <t>193 + 948 × 0.6</t>
  </si>
  <si>
    <t>761.80 ₽</t>
  </si>
  <si>
    <t>Express</t>
  </si>
  <si>
    <t>198 + 787 × 0.6</t>
  </si>
  <si>
    <t>670.20 ₽</t>
  </si>
  <si>
    <t>Пример 2: посылка 500 г</t>
  </si>
  <si>
    <t>500 г = 0.5 кг</t>
  </si>
  <si>
    <t>193 + 948 × 0.5</t>
  </si>
  <si>
    <t>667.00 ₽</t>
  </si>
  <si>
    <t>198 + 787 × 0.5</t>
  </si>
  <si>
    <t>591.50 ₽</t>
  </si>
  <si>
    <t>Пример 3: посылка 80 г (меньше минимальной единицы)</t>
  </si>
  <si>
    <t>100 г = 0.1 кг</t>
  </si>
  <si>
    <t>193 + 948 × 0.1</t>
  </si>
  <si>
    <t>287.80 ₽</t>
  </si>
  <si>
    <t>198 + 787 × 0.1</t>
  </si>
  <si>
    <t>276.70 ₽</t>
  </si>
  <si>
    <t>193+948*(ОКРВВЕРХ(B2;100)/1000)</t>
  </si>
  <si>
    <t>198+787*(ОКРВВЕРХ(B2;100)/1000)</t>
  </si>
  <si>
    <t>Excel формулы, где В2 вес в гр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</si>
</sst>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9C5700"/>
      <name val="Calibri"/>
      <family val="2"/>
      <charset val="204"/>
      <scheme val="minor"/>
    </font>
    <font>
      <b/>
      <sz val="12"/>
      <color theme="0"/>
      <name val="Calibri"/>
      <family val="2"/>
      <charset val="204"/>
      <scheme val="minor"/>
    </font>
    <font>
      <sz val="8"/>
      <color theme="1"/>
      <name val="Arial"/>
      <family val="2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charset val="204"/>
    </font>
  </fonts>
  <fills count="6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0000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249977111117893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6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4" borderId="0" xfId="0" applyFont="1" applyFill="1" applyAlignment="1">
      <alignment horizontal="center" vertical="center"/>
    </xf>
    <xf numFmtId="3" fontId="3" fillId="4" borderId="0" xfId="0" applyNumberFormat="1" applyFont="1" applyFill="1" applyAlignment="1">
      <alignment horizontal="center" vertical="center"/>
    </xf>
    <xf numFmtId="0" fontId="1" fillId="2" borderId="0" xfId="1" applyAlignment="1">
      <alignment horizontal="center" vertical="center" wrapText="1"/>
    </xf>
    <xf numFmtId="0" fontId="0" fillId="4" borderId="0" xfId="0" applyFill="1"/>
    <xf numFmtId="0" fontId="0" fillId="4" borderId="4" xfId="0" applyFill="1" applyBorder="1"/>
    <xf numFmtId="0" fontId="0" fillId="4" borderId="5" xfId="0" applyFill="1" applyBorder="1"/>
    <xf numFmtId="0" fontId="0" fillId="4" borderId="6" xfId="0" applyFill="1" applyBorder="1"/>
    <xf numFmtId="0" fontId="4" fillId="5" borderId="1" xfId="0" applyFont="1" applyFill="1" applyBorder="1"/>
    <xf numFmtId="0" fontId="1" fillId="2" borderId="2" xfId="1" applyBorder="1"/>
    <xf numFmtId="0" fontId="0" fillId="4" borderId="13" xfId="0" applyFill="1" applyBorder="1"/>
    <xf numFmtId="0" fontId="5" fillId="0" borderId="0" xfId="0" applyFont="1"/>
    <xf numFmtId="0" fontId="0" fillId="4" borderId="14" xfId="0" applyFill="1" applyBorder="1"/>
    <xf numFmtId="0" fontId="0" fillId="0" borderId="0" xfId="0" applyAlignment="1">
      <alignment horizontal="left" wrapText="1"/>
    </xf>
    <xf numFmtId="0" fontId="4" fillId="5" borderId="3" xfId="0" applyFont="1" applyFill="1" applyBorder="1" applyAlignment="1">
      <alignment horizontal="center"/>
    </xf>
    <xf numFmtId="0" fontId="4" fillId="5" borderId="7" xfId="0" applyFont="1" applyFill="1" applyBorder="1" applyAlignment="1">
      <alignment horizontal="center"/>
    </xf>
    <xf numFmtId="0" fontId="4" fillId="5" borderId="8" xfId="0" applyFont="1" applyFill="1" applyBorder="1" applyAlignment="1">
      <alignment horizontal="center"/>
    </xf>
    <xf numFmtId="0" fontId="4" fillId="5" borderId="9" xfId="0" applyFont="1" applyFill="1" applyBorder="1" applyAlignment="1">
      <alignment horizontal="center"/>
    </xf>
    <xf numFmtId="0" fontId="4" fillId="5" borderId="10" xfId="0" applyFont="1" applyFill="1" applyBorder="1" applyAlignment="1">
      <alignment horizontal="center"/>
    </xf>
    <xf numFmtId="0" fontId="4" fillId="5" borderId="11" xfId="0" applyFont="1" applyFill="1" applyBorder="1" applyAlignment="1">
      <alignment horizontal="center"/>
    </xf>
    <xf numFmtId="0" fontId="4" fillId="5" borderId="12" xfId="0" applyFont="1" applyFill="1" applyBorder="1" applyAlignment="1">
      <alignment horizontal="center"/>
    </xf>
    <xf numFmtId="0" fontId="4" fillId="5" borderId="9" xfId="0" applyFont="1" applyFill="1" applyBorder="1" applyAlignment="1">
      <alignment horizontal="center" wrapText="1"/>
    </xf>
    <xf numFmtId="0" fontId="4" fillId="5" borderId="10" xfId="0" applyFont="1" applyFill="1" applyBorder="1" applyAlignment="1">
      <alignment horizontal="center" wrapText="1"/>
    </xf>
    <xf numFmtId="0" fontId="4" fillId="5" borderId="0" xfId="0" applyFont="1" applyFill="1"/>
    <xf numFmtId="0" fontId="1" fillId="2" borderId="0" xfId="1"/>
  </cellXfs>
  <cellStyles count="2">
    <cellStyle name="Neutral" xfId="1" builtinId="28"/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nna Anokhina" id="{3ACC0CA4-EB51-4D03-BB94-A7907161998B}" userId="S::anna.anokhina@qtavia.com::832260c9-c08d-44db-a3f2-02a71c71b4cf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G8" dT="2026-08-21T10:08:51.07" personId="{3ACC0CA4-EB51-4D03-BB94-A7907161998B}" id="{46181771-22FC-4F61-BB25-43C3D28B1CE6}">
    <text>Здесь из выпадающего меню выбирается OZON или Yandex Market</text>
  </threadedComment>
  <threadedComment ref="H10" dT="2026-08-14T10:22:26.07" personId="{3ACC0CA4-EB51-4D03-BB94-A7907161998B}" id="{129CBF8A-5F1C-4888-8AB5-FD070033E624}">
    <text>Все параметры должны быть обязательными для ввода, то есть, если какое-либо поле пустое, расчет не будет произведен</text>
  </threadedComment>
  <threadedComment ref="M10" dT="2026-08-14T10:19:34.66" personId="{3ACC0CA4-EB51-4D03-BB94-A7907161998B}" id="{8F8ED6BF-C613-46EB-BB74-C61DEA826C7A}">
    <text>Здесь выпадающий список каналов доставки (на втором листе). Клиент выбирает из выпадающего списка нужный канал доставки/ либо лучше, чтобы по введенным параметрам канал подбирался автоматически</text>
  </threadedComment>
  <threadedComment ref="O10" dT="2026-08-14T10:21:47.57" personId="{3ACC0CA4-EB51-4D03-BB94-A7907161998B}" id="{96338E8B-471E-459E-8117-A43DC3B9A762}">
    <text>Здесь автоматически выводится тариф, расчитанный по формуле по введенным параметрам</text>
  </threadedComment>
  <threadedComment ref="O13" dT="2026-08-14T10:20:18.14" personId="{3ACC0CA4-EB51-4D03-BB94-A7907161998B}" id="{062C1CFE-16A0-402B-AA80-3C4A6A639112}">
    <text>Можно добавить кнопку «расчитать»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5C838-A664-478A-89EE-B88BBE30010A}">
  <dimension ref="A1:T16"/>
  <sheetViews>
    <sheetView workbookViewId="0">
      <selection activeCell="E25" sqref="E25"/>
    </sheetView>
  </sheetViews>
  <sheetFormatPr defaultRowHeight="15" x14ac:dyDescent="0.25"/>
  <sheetData>
    <row r="1" spans="1:20" x14ac:dyDescent="0.25">
      <c r="A1" s="12" t="s">
        <v>59</v>
      </c>
    </row>
    <row r="2" spans="1:20" x14ac:dyDescent="0.25">
      <c r="A2" t="s">
        <v>60</v>
      </c>
    </row>
    <row r="3" spans="1:20" ht="93" customHeight="1" x14ac:dyDescent="0.25">
      <c r="A3" s="14" t="s">
        <v>111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</row>
    <row r="5" spans="1:20" x14ac:dyDescent="0.25">
      <c r="A5" t="s">
        <v>61</v>
      </c>
    </row>
    <row r="6" spans="1:20" x14ac:dyDescent="0.25">
      <c r="A6" t="s">
        <v>65</v>
      </c>
    </row>
    <row r="7" spans="1:20" x14ac:dyDescent="0.25">
      <c r="A7" t="s">
        <v>62</v>
      </c>
    </row>
    <row r="8" spans="1:20" x14ac:dyDescent="0.25">
      <c r="A8" t="s">
        <v>63</v>
      </c>
    </row>
    <row r="10" spans="1:20" x14ac:dyDescent="0.25">
      <c r="A10" t="s">
        <v>64</v>
      </c>
    </row>
    <row r="11" spans="1:20" x14ac:dyDescent="0.25">
      <c r="A11" t="s">
        <v>67</v>
      </c>
    </row>
    <row r="12" spans="1:20" x14ac:dyDescent="0.25">
      <c r="A12" t="s">
        <v>68</v>
      </c>
    </row>
    <row r="13" spans="1:20" x14ac:dyDescent="0.25">
      <c r="A13" t="s">
        <v>69</v>
      </c>
    </row>
    <row r="15" spans="1:20" x14ac:dyDescent="0.25">
      <c r="A15" t="s">
        <v>70</v>
      </c>
    </row>
    <row r="16" spans="1:20" x14ac:dyDescent="0.25">
      <c r="A16" t="s">
        <v>112</v>
      </c>
    </row>
  </sheetData>
  <mergeCells count="1">
    <mergeCell ref="A3:T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EB5B2-CCEE-4229-9744-505F8CD79238}">
  <dimension ref="G7:O13"/>
  <sheetViews>
    <sheetView workbookViewId="0">
      <selection activeCell="O18" sqref="O18"/>
    </sheetView>
  </sheetViews>
  <sheetFormatPr defaultRowHeight="15" x14ac:dyDescent="0.25"/>
  <cols>
    <col min="1" max="5" width="9.140625" style="5"/>
    <col min="6" max="6" width="6" style="5" customWidth="1"/>
    <col min="7" max="7" width="17.5703125" style="5" customWidth="1"/>
    <col min="8" max="9" width="13.7109375" style="5" customWidth="1"/>
    <col min="10" max="10" width="11.42578125" style="5" customWidth="1"/>
    <col min="11" max="11" width="12.28515625" style="5" customWidth="1"/>
    <col min="12" max="12" width="12" style="5" customWidth="1"/>
    <col min="13" max="14" width="21.5703125" style="5" customWidth="1"/>
    <col min="15" max="15" width="23.42578125" style="5" customWidth="1"/>
    <col min="16" max="16384" width="9.140625" style="5"/>
  </cols>
  <sheetData>
    <row r="7" spans="7:15" ht="24" customHeight="1" thickBot="1" x14ac:dyDescent="0.3"/>
    <row r="8" spans="7:15" x14ac:dyDescent="0.25">
      <c r="G8" s="16" t="s">
        <v>110</v>
      </c>
      <c r="H8" s="16" t="s">
        <v>50</v>
      </c>
      <c r="I8" s="22" t="s">
        <v>58</v>
      </c>
      <c r="J8" s="15" t="s">
        <v>51</v>
      </c>
      <c r="K8" s="15"/>
      <c r="L8" s="15"/>
      <c r="M8" s="18" t="s">
        <v>55</v>
      </c>
      <c r="N8" s="18" t="s">
        <v>66</v>
      </c>
      <c r="O8" s="20" t="s">
        <v>56</v>
      </c>
    </row>
    <row r="9" spans="7:15" x14ac:dyDescent="0.25">
      <c r="G9" s="17"/>
      <c r="H9" s="17"/>
      <c r="I9" s="23"/>
      <c r="J9" s="9" t="s">
        <v>52</v>
      </c>
      <c r="K9" s="9" t="s">
        <v>54</v>
      </c>
      <c r="L9" s="9" t="s">
        <v>53</v>
      </c>
      <c r="M9" s="19"/>
      <c r="N9" s="19"/>
      <c r="O9" s="21"/>
    </row>
    <row r="10" spans="7:15" ht="15.75" thickBot="1" x14ac:dyDescent="0.3">
      <c r="G10" s="6"/>
      <c r="H10" s="6"/>
      <c r="I10" s="11"/>
      <c r="J10" s="7"/>
      <c r="K10" s="7"/>
      <c r="L10" s="7"/>
      <c r="M10" s="7"/>
      <c r="N10" s="13"/>
      <c r="O10" s="8"/>
    </row>
    <row r="12" spans="7:15" ht="15.75" thickBot="1" x14ac:dyDescent="0.3"/>
    <row r="13" spans="7:15" ht="15.75" thickBot="1" x14ac:dyDescent="0.3">
      <c r="O13" s="10" t="s">
        <v>57</v>
      </c>
    </row>
  </sheetData>
  <mergeCells count="7">
    <mergeCell ref="G8:G9"/>
    <mergeCell ref="J8:L8"/>
    <mergeCell ref="H8:H9"/>
    <mergeCell ref="M8:M9"/>
    <mergeCell ref="O8:O9"/>
    <mergeCell ref="I8:I9"/>
    <mergeCell ref="N8:N9"/>
  </mergeCell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"/>
  <sheetViews>
    <sheetView topLeftCell="A12" workbookViewId="0">
      <selection activeCell="D24" sqref="D24"/>
    </sheetView>
  </sheetViews>
  <sheetFormatPr defaultColWidth="23.5703125" defaultRowHeight="39" customHeight="1" x14ac:dyDescent="0.25"/>
  <cols>
    <col min="1" max="1" width="19.140625" customWidth="1"/>
    <col min="2" max="2" width="21.5703125" customWidth="1"/>
    <col min="3" max="3" width="31.42578125" customWidth="1"/>
    <col min="4" max="4" width="17" customWidth="1"/>
    <col min="5" max="5" width="19" customWidth="1"/>
    <col min="6" max="6" width="18.28515625" customWidth="1"/>
    <col min="7" max="7" width="20.28515625" customWidth="1"/>
    <col min="8" max="9" width="38" customWidth="1"/>
  </cols>
  <sheetData>
    <row r="1" spans="1:8" ht="54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39" customHeight="1" x14ac:dyDescent="0.25">
      <c r="A2" s="2" t="s">
        <v>8</v>
      </c>
      <c r="B2" s="2" t="s">
        <v>9</v>
      </c>
      <c r="C2" s="2" t="s">
        <v>10</v>
      </c>
      <c r="D2" s="2">
        <v>1</v>
      </c>
      <c r="E2" s="2">
        <v>500</v>
      </c>
      <c r="F2" s="2" t="s">
        <v>11</v>
      </c>
      <c r="G2" s="2" t="s">
        <v>12</v>
      </c>
      <c r="H2" s="2" t="s">
        <v>13</v>
      </c>
    </row>
    <row r="3" spans="1:8" ht="39" customHeight="1" x14ac:dyDescent="0.25">
      <c r="A3" s="2" t="s">
        <v>14</v>
      </c>
      <c r="B3" s="2" t="s">
        <v>15</v>
      </c>
      <c r="C3" s="2" t="s">
        <v>10</v>
      </c>
      <c r="D3" s="2">
        <v>1</v>
      </c>
      <c r="E3" s="2">
        <v>500</v>
      </c>
      <c r="F3" s="2" t="s">
        <v>11</v>
      </c>
      <c r="G3" s="2" t="s">
        <v>12</v>
      </c>
      <c r="H3" s="2" t="s">
        <v>13</v>
      </c>
    </row>
    <row r="4" spans="1:8" ht="39" customHeight="1" x14ac:dyDescent="0.25">
      <c r="A4" s="2" t="s">
        <v>16</v>
      </c>
      <c r="B4" s="2" t="s">
        <v>17</v>
      </c>
      <c r="C4" s="2" t="s">
        <v>10</v>
      </c>
      <c r="D4" s="2">
        <v>1</v>
      </c>
      <c r="E4" s="2">
        <v>500</v>
      </c>
      <c r="F4" s="2" t="s">
        <v>11</v>
      </c>
      <c r="G4" s="2" t="s">
        <v>12</v>
      </c>
      <c r="H4" s="2" t="s">
        <v>13</v>
      </c>
    </row>
    <row r="5" spans="1:8" ht="39" customHeight="1" x14ac:dyDescent="0.25">
      <c r="A5" s="2" t="s">
        <v>18</v>
      </c>
      <c r="B5" s="2" t="s">
        <v>19</v>
      </c>
      <c r="C5" s="2" t="s">
        <v>20</v>
      </c>
      <c r="D5" s="2">
        <v>501</v>
      </c>
      <c r="E5" s="3">
        <v>30000</v>
      </c>
      <c r="F5" s="2" t="s">
        <v>11</v>
      </c>
      <c r="G5" s="2" t="s">
        <v>12</v>
      </c>
      <c r="H5" s="2" t="s">
        <v>13</v>
      </c>
    </row>
    <row r="6" spans="1:8" ht="39" customHeight="1" x14ac:dyDescent="0.25">
      <c r="A6" s="2" t="s">
        <v>21</v>
      </c>
      <c r="B6" s="2" t="s">
        <v>22</v>
      </c>
      <c r="C6" s="2" t="s">
        <v>20</v>
      </c>
      <c r="D6" s="2">
        <v>501</v>
      </c>
      <c r="E6" s="3">
        <v>30000</v>
      </c>
      <c r="F6" s="2" t="s">
        <v>11</v>
      </c>
      <c r="G6" s="2" t="s">
        <v>12</v>
      </c>
      <c r="H6" s="2" t="s">
        <v>13</v>
      </c>
    </row>
    <row r="7" spans="1:8" ht="39" customHeight="1" x14ac:dyDescent="0.25">
      <c r="A7" s="2" t="s">
        <v>23</v>
      </c>
      <c r="B7" s="2" t="s">
        <v>24</v>
      </c>
      <c r="C7" s="2" t="s">
        <v>20</v>
      </c>
      <c r="D7" s="2">
        <v>1</v>
      </c>
      <c r="E7" s="2">
        <v>2000</v>
      </c>
      <c r="F7" s="2" t="s">
        <v>25</v>
      </c>
      <c r="G7" s="2" t="s">
        <v>26</v>
      </c>
      <c r="H7" s="2" t="s">
        <v>13</v>
      </c>
    </row>
    <row r="8" spans="1:8" ht="39" customHeight="1" x14ac:dyDescent="0.25">
      <c r="A8" s="2" t="s">
        <v>27</v>
      </c>
      <c r="B8" s="2" t="s">
        <v>28</v>
      </c>
      <c r="C8" s="2" t="s">
        <v>20</v>
      </c>
      <c r="D8" s="2">
        <v>1</v>
      </c>
      <c r="E8" s="2">
        <v>2000</v>
      </c>
      <c r="F8" s="2" t="s">
        <v>25</v>
      </c>
      <c r="G8" s="2" t="s">
        <v>26</v>
      </c>
      <c r="H8" s="2" t="s">
        <v>13</v>
      </c>
    </row>
    <row r="9" spans="1:8" ht="39" customHeight="1" x14ac:dyDescent="0.25">
      <c r="A9" s="2" t="s">
        <v>29</v>
      </c>
      <c r="B9" s="2" t="s">
        <v>30</v>
      </c>
      <c r="C9" s="2" t="s">
        <v>20</v>
      </c>
      <c r="D9" s="2">
        <v>1</v>
      </c>
      <c r="E9" s="2">
        <v>2000</v>
      </c>
      <c r="F9" s="2" t="s">
        <v>25</v>
      </c>
      <c r="G9" s="2" t="s">
        <v>26</v>
      </c>
      <c r="H9" s="2" t="s">
        <v>13</v>
      </c>
    </row>
    <row r="10" spans="1:8" ht="39" customHeight="1" x14ac:dyDescent="0.25">
      <c r="A10" s="2" t="s">
        <v>31</v>
      </c>
      <c r="B10" s="2" t="s">
        <v>32</v>
      </c>
      <c r="C10" s="2" t="s">
        <v>33</v>
      </c>
      <c r="D10" s="2">
        <v>2001</v>
      </c>
      <c r="E10" s="2">
        <v>30000</v>
      </c>
      <c r="F10" s="2" t="s">
        <v>25</v>
      </c>
      <c r="G10" s="2" t="s">
        <v>26</v>
      </c>
      <c r="H10" s="4" t="s">
        <v>34</v>
      </c>
    </row>
    <row r="11" spans="1:8" ht="39" customHeight="1" x14ac:dyDescent="0.25">
      <c r="A11" s="2" t="s">
        <v>35</v>
      </c>
      <c r="B11" s="2" t="s">
        <v>36</v>
      </c>
      <c r="C11" s="2" t="s">
        <v>33</v>
      </c>
      <c r="D11" s="2">
        <v>2001</v>
      </c>
      <c r="E11" s="2">
        <v>30000</v>
      </c>
      <c r="F11" s="2" t="s">
        <v>25</v>
      </c>
      <c r="G11" s="2" t="s">
        <v>26</v>
      </c>
      <c r="H11" s="4" t="s">
        <v>34</v>
      </c>
    </row>
    <row r="12" spans="1:8" ht="39" customHeight="1" x14ac:dyDescent="0.25">
      <c r="A12" s="2" t="s">
        <v>37</v>
      </c>
      <c r="B12" s="2" t="s">
        <v>38</v>
      </c>
      <c r="C12" s="2" t="s">
        <v>39</v>
      </c>
      <c r="D12" s="2">
        <v>1</v>
      </c>
      <c r="E12" s="2">
        <v>5000</v>
      </c>
      <c r="F12" s="2" t="s">
        <v>40</v>
      </c>
      <c r="G12" s="2" t="s">
        <v>41</v>
      </c>
      <c r="H12" s="2" t="s">
        <v>13</v>
      </c>
    </row>
    <row r="13" spans="1:8" ht="39" customHeight="1" x14ac:dyDescent="0.25">
      <c r="A13" s="2" t="s">
        <v>42</v>
      </c>
      <c r="B13" s="2" t="s">
        <v>43</v>
      </c>
      <c r="C13" s="2" t="s">
        <v>39</v>
      </c>
      <c r="D13" s="2">
        <v>1</v>
      </c>
      <c r="E13" s="2">
        <v>5000</v>
      </c>
      <c r="F13" s="2" t="s">
        <v>40</v>
      </c>
      <c r="G13" s="2" t="s">
        <v>41</v>
      </c>
      <c r="H13" s="2" t="s">
        <v>13</v>
      </c>
    </row>
    <row r="14" spans="1:8" ht="39" customHeight="1" x14ac:dyDescent="0.25">
      <c r="A14" s="2" t="s">
        <v>44</v>
      </c>
      <c r="B14" s="2" t="s">
        <v>45</v>
      </c>
      <c r="C14" s="2" t="s">
        <v>39</v>
      </c>
      <c r="D14" s="2">
        <v>1</v>
      </c>
      <c r="E14" s="2">
        <v>5000</v>
      </c>
      <c r="F14" s="2" t="s">
        <v>40</v>
      </c>
      <c r="G14" s="2" t="s">
        <v>41</v>
      </c>
      <c r="H14" s="2" t="s">
        <v>13</v>
      </c>
    </row>
    <row r="15" spans="1:8" ht="39" customHeight="1" x14ac:dyDescent="0.25">
      <c r="A15" s="2" t="s">
        <v>46</v>
      </c>
      <c r="B15" s="2" t="s">
        <v>47</v>
      </c>
      <c r="C15" s="2" t="s">
        <v>33</v>
      </c>
      <c r="D15" s="2">
        <v>5001</v>
      </c>
      <c r="E15" s="2">
        <v>30000</v>
      </c>
      <c r="F15" s="2" t="s">
        <v>40</v>
      </c>
      <c r="G15" s="2" t="s">
        <v>41</v>
      </c>
      <c r="H15" s="4" t="s">
        <v>34</v>
      </c>
    </row>
    <row r="16" spans="1:8" ht="39" customHeight="1" x14ac:dyDescent="0.25">
      <c r="A16" s="2" t="s">
        <v>48</v>
      </c>
      <c r="B16" s="2" t="s">
        <v>49</v>
      </c>
      <c r="C16" s="2" t="s">
        <v>33</v>
      </c>
      <c r="D16" s="2">
        <v>5001</v>
      </c>
      <c r="E16" s="2">
        <v>30000</v>
      </c>
      <c r="F16" s="2" t="s">
        <v>40</v>
      </c>
      <c r="G16" s="2" t="s">
        <v>41</v>
      </c>
      <c r="H16" s="4" t="s">
        <v>34</v>
      </c>
    </row>
  </sheetData>
  <conditionalFormatting sqref="B2:C14">
    <cfRule type="cellIs" dxfId="3" priority="3" operator="equal">
      <formula>"Error"</formula>
    </cfRule>
  </conditionalFormatting>
  <conditionalFormatting sqref="F2:G9 C15:C16">
    <cfRule type="cellIs" dxfId="2" priority="21" operator="equal">
      <formula>"Error"</formula>
    </cfRule>
  </conditionalFormatting>
  <conditionalFormatting sqref="F12:G14">
    <cfRule type="cellIs" dxfId="1" priority="6" operator="equal">
      <formula>"Error"</formula>
    </cfRule>
  </conditionalFormatting>
  <conditionalFormatting sqref="F10:H11 F15:H16">
    <cfRule type="cellIs" dxfId="0" priority="22" operator="equal">
      <formula>"Error"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FC55C-BC8E-4E7F-BE23-3D68CCDE898C}">
  <dimension ref="A1:D79"/>
  <sheetViews>
    <sheetView tabSelected="1" topLeftCell="A40" workbookViewId="0">
      <selection activeCell="C72" sqref="C72"/>
    </sheetView>
  </sheetViews>
  <sheetFormatPr defaultRowHeight="15" x14ac:dyDescent="0.25"/>
  <cols>
    <col min="1" max="1" width="31.140625" customWidth="1"/>
    <col min="2" max="2" width="32.5703125" customWidth="1"/>
    <col min="3" max="3" width="23.140625" customWidth="1"/>
  </cols>
  <sheetData>
    <row r="1" spans="1:2" x14ac:dyDescent="0.25">
      <c r="A1" s="12" t="s">
        <v>71</v>
      </c>
    </row>
    <row r="2" spans="1:2" x14ac:dyDescent="0.25">
      <c r="A2" s="24" t="s">
        <v>113</v>
      </c>
    </row>
    <row r="3" spans="1:2" x14ac:dyDescent="0.25">
      <c r="A3" t="s">
        <v>72</v>
      </c>
      <c r="B3" t="s">
        <v>73</v>
      </c>
    </row>
    <row r="4" spans="1:2" x14ac:dyDescent="0.25">
      <c r="A4" t="s">
        <v>74</v>
      </c>
      <c r="B4" t="s">
        <v>75</v>
      </c>
    </row>
    <row r="5" spans="1:2" x14ac:dyDescent="0.25">
      <c r="A5" t="s">
        <v>76</v>
      </c>
      <c r="B5" t="s">
        <v>77</v>
      </c>
    </row>
    <row r="6" spans="1:2" x14ac:dyDescent="0.25">
      <c r="A6" t="s">
        <v>78</v>
      </c>
      <c r="B6" t="s">
        <v>79</v>
      </c>
    </row>
    <row r="7" spans="1:2" x14ac:dyDescent="0.25">
      <c r="A7" t="s">
        <v>80</v>
      </c>
      <c r="B7" t="s">
        <v>81</v>
      </c>
    </row>
    <row r="9" spans="1:2" x14ac:dyDescent="0.25">
      <c r="A9" t="s">
        <v>109</v>
      </c>
    </row>
    <row r="10" spans="1:2" x14ac:dyDescent="0.25">
      <c r="A10" t="s">
        <v>82</v>
      </c>
    </row>
    <row r="11" spans="1:2" x14ac:dyDescent="0.25">
      <c r="A11" t="s">
        <v>83</v>
      </c>
    </row>
    <row r="13" spans="1:2" x14ac:dyDescent="0.25">
      <c r="A13" t="s">
        <v>84</v>
      </c>
    </row>
    <row r="15" spans="1:2" x14ac:dyDescent="0.25">
      <c r="A15" t="s">
        <v>102</v>
      </c>
    </row>
    <row r="17" spans="1:2" x14ac:dyDescent="0.25">
      <c r="A17" t="s">
        <v>103</v>
      </c>
    </row>
    <row r="18" spans="1:2" x14ac:dyDescent="0.25">
      <c r="A18" t="s">
        <v>85</v>
      </c>
      <c r="B18" t="s">
        <v>86</v>
      </c>
    </row>
    <row r="19" spans="1:2" x14ac:dyDescent="0.25">
      <c r="A19" t="s">
        <v>8</v>
      </c>
      <c r="B19" t="s">
        <v>87</v>
      </c>
    </row>
    <row r="20" spans="1:2" x14ac:dyDescent="0.25">
      <c r="A20" t="s">
        <v>14</v>
      </c>
      <c r="B20" t="s">
        <v>88</v>
      </c>
    </row>
    <row r="21" spans="1:2" x14ac:dyDescent="0.25">
      <c r="A21" t="s">
        <v>16</v>
      </c>
      <c r="B21" t="s">
        <v>89</v>
      </c>
    </row>
    <row r="23" spans="1:2" x14ac:dyDescent="0.25">
      <c r="A23" t="s">
        <v>104</v>
      </c>
    </row>
    <row r="24" spans="1:2" x14ac:dyDescent="0.25">
      <c r="A24" t="s">
        <v>85</v>
      </c>
      <c r="B24" t="s">
        <v>86</v>
      </c>
    </row>
    <row r="25" spans="1:2" x14ac:dyDescent="0.25">
      <c r="A25" t="s">
        <v>18</v>
      </c>
      <c r="B25" t="s">
        <v>90</v>
      </c>
    </row>
    <row r="26" spans="1:2" x14ac:dyDescent="0.25">
      <c r="A26" t="s">
        <v>21</v>
      </c>
      <c r="B26" t="s">
        <v>91</v>
      </c>
    </row>
    <row r="28" spans="1:2" x14ac:dyDescent="0.25">
      <c r="A28" t="s">
        <v>105</v>
      </c>
    </row>
    <row r="29" spans="1:2" x14ac:dyDescent="0.25">
      <c r="A29" t="s">
        <v>85</v>
      </c>
      <c r="B29" t="s">
        <v>86</v>
      </c>
    </row>
    <row r="30" spans="1:2" x14ac:dyDescent="0.25">
      <c r="A30" t="s">
        <v>23</v>
      </c>
      <c r="B30" t="s">
        <v>92</v>
      </c>
    </row>
    <row r="31" spans="1:2" x14ac:dyDescent="0.25">
      <c r="A31" t="s">
        <v>27</v>
      </c>
      <c r="B31" t="s">
        <v>93</v>
      </c>
    </row>
    <row r="32" spans="1:2" x14ac:dyDescent="0.25">
      <c r="A32" t="s">
        <v>29</v>
      </c>
      <c r="B32" t="s">
        <v>94</v>
      </c>
    </row>
    <row r="34" spans="1:2" x14ac:dyDescent="0.25">
      <c r="A34" t="s">
        <v>106</v>
      </c>
    </row>
    <row r="35" spans="1:2" x14ac:dyDescent="0.25">
      <c r="A35" t="s">
        <v>85</v>
      </c>
      <c r="B35" t="s">
        <v>86</v>
      </c>
    </row>
    <row r="36" spans="1:2" x14ac:dyDescent="0.25">
      <c r="A36" t="s">
        <v>31</v>
      </c>
      <c r="B36" t="s">
        <v>95</v>
      </c>
    </row>
    <row r="37" spans="1:2" x14ac:dyDescent="0.25">
      <c r="A37" t="s">
        <v>35</v>
      </c>
      <c r="B37" t="s">
        <v>96</v>
      </c>
    </row>
    <row r="39" spans="1:2" x14ac:dyDescent="0.25">
      <c r="A39" t="s">
        <v>107</v>
      </c>
    </row>
    <row r="40" spans="1:2" x14ac:dyDescent="0.25">
      <c r="A40" t="s">
        <v>85</v>
      </c>
      <c r="B40" t="s">
        <v>86</v>
      </c>
    </row>
    <row r="41" spans="1:2" x14ac:dyDescent="0.25">
      <c r="A41" t="s">
        <v>37</v>
      </c>
      <c r="B41" t="s">
        <v>97</v>
      </c>
    </row>
    <row r="42" spans="1:2" x14ac:dyDescent="0.25">
      <c r="A42" t="s">
        <v>42</v>
      </c>
      <c r="B42" t="s">
        <v>98</v>
      </c>
    </row>
    <row r="43" spans="1:2" x14ac:dyDescent="0.25">
      <c r="A43" t="s">
        <v>44</v>
      </c>
      <c r="B43" t="s">
        <v>99</v>
      </c>
    </row>
    <row r="45" spans="1:2" x14ac:dyDescent="0.25">
      <c r="A45" t="s">
        <v>108</v>
      </c>
    </row>
    <row r="46" spans="1:2" x14ac:dyDescent="0.25">
      <c r="A46" t="s">
        <v>85</v>
      </c>
      <c r="B46" t="s">
        <v>86</v>
      </c>
    </row>
    <row r="47" spans="1:2" x14ac:dyDescent="0.25">
      <c r="A47" t="s">
        <v>46</v>
      </c>
      <c r="B47" t="s">
        <v>100</v>
      </c>
    </row>
    <row r="48" spans="1:2" x14ac:dyDescent="0.25">
      <c r="A48" t="s">
        <v>48</v>
      </c>
      <c r="B48" t="s">
        <v>101</v>
      </c>
    </row>
    <row r="50" spans="1:3" x14ac:dyDescent="0.25">
      <c r="A50" s="25" t="s">
        <v>114</v>
      </c>
    </row>
    <row r="52" spans="1:3" x14ac:dyDescent="0.25">
      <c r="A52" s="12" t="s">
        <v>115</v>
      </c>
      <c r="B52" s="12" t="s">
        <v>116</v>
      </c>
      <c r="C52" s="12" t="s">
        <v>117</v>
      </c>
    </row>
    <row r="53" spans="1:3" x14ac:dyDescent="0.25">
      <c r="A53" t="s">
        <v>118</v>
      </c>
      <c r="B53" t="s">
        <v>119</v>
      </c>
      <c r="C53" t="s">
        <v>129</v>
      </c>
    </row>
    <row r="54" spans="1:3" x14ac:dyDescent="0.25">
      <c r="A54" t="s">
        <v>120</v>
      </c>
      <c r="B54" t="s">
        <v>121</v>
      </c>
      <c r="C54" t="s">
        <v>122</v>
      </c>
    </row>
    <row r="55" spans="1:3" x14ac:dyDescent="0.25">
      <c r="A55" t="s">
        <v>123</v>
      </c>
      <c r="B55" t="s">
        <v>124</v>
      </c>
      <c r="C55" t="s">
        <v>125</v>
      </c>
    </row>
    <row r="56" spans="1:3" x14ac:dyDescent="0.25">
      <c r="A56" t="s">
        <v>126</v>
      </c>
      <c r="B56" t="s">
        <v>127</v>
      </c>
      <c r="C56" t="s">
        <v>127</v>
      </c>
    </row>
    <row r="57" spans="1:3" x14ac:dyDescent="0.25">
      <c r="A57" t="s">
        <v>158</v>
      </c>
      <c r="B57" t="s">
        <v>156</v>
      </c>
      <c r="C57" t="s">
        <v>157</v>
      </c>
    </row>
    <row r="58" spans="1:3" x14ac:dyDescent="0.25">
      <c r="A58" t="s">
        <v>130</v>
      </c>
    </row>
    <row r="59" spans="1:3" x14ac:dyDescent="0.25">
      <c r="A59" t="s">
        <v>128</v>
      </c>
    </row>
    <row r="60" spans="1:3" x14ac:dyDescent="0.25">
      <c r="A60" t="s">
        <v>131</v>
      </c>
    </row>
    <row r="62" spans="1:3" x14ac:dyDescent="0.25">
      <c r="A62" s="12" t="s">
        <v>132</v>
      </c>
    </row>
    <row r="63" spans="1:3" x14ac:dyDescent="0.25">
      <c r="A63" t="s">
        <v>133</v>
      </c>
    </row>
    <row r="65" spans="1:4" x14ac:dyDescent="0.25">
      <c r="A65" t="s">
        <v>85</v>
      </c>
      <c r="B65" t="s">
        <v>134</v>
      </c>
      <c r="C65" t="s">
        <v>135</v>
      </c>
      <c r="D65" t="s">
        <v>136</v>
      </c>
    </row>
    <row r="66" spans="1:4" x14ac:dyDescent="0.25">
      <c r="A66" t="s">
        <v>137</v>
      </c>
      <c r="B66" t="s">
        <v>138</v>
      </c>
      <c r="C66" t="s">
        <v>139</v>
      </c>
      <c r="D66" t="s">
        <v>140</v>
      </c>
    </row>
    <row r="67" spans="1:4" x14ac:dyDescent="0.25">
      <c r="A67" t="s">
        <v>141</v>
      </c>
      <c r="B67" t="s">
        <v>138</v>
      </c>
      <c r="C67" t="s">
        <v>142</v>
      </c>
      <c r="D67" t="s">
        <v>143</v>
      </c>
    </row>
    <row r="69" spans="1:4" x14ac:dyDescent="0.25">
      <c r="A69" t="s">
        <v>144</v>
      </c>
    </row>
    <row r="71" spans="1:4" x14ac:dyDescent="0.25">
      <c r="A71" t="s">
        <v>85</v>
      </c>
      <c r="B71" t="s">
        <v>134</v>
      </c>
      <c r="C71" t="s">
        <v>135</v>
      </c>
      <c r="D71" t="s">
        <v>136</v>
      </c>
    </row>
    <row r="72" spans="1:4" x14ac:dyDescent="0.25">
      <c r="A72" t="s">
        <v>137</v>
      </c>
      <c r="B72" t="s">
        <v>145</v>
      </c>
      <c r="C72" t="s">
        <v>146</v>
      </c>
      <c r="D72" t="s">
        <v>147</v>
      </c>
    </row>
    <row r="73" spans="1:4" x14ac:dyDescent="0.25">
      <c r="A73" t="s">
        <v>141</v>
      </c>
      <c r="B73" t="s">
        <v>145</v>
      </c>
      <c r="C73" t="s">
        <v>148</v>
      </c>
      <c r="D73" t="s">
        <v>149</v>
      </c>
    </row>
    <row r="75" spans="1:4" x14ac:dyDescent="0.25">
      <c r="A75" t="s">
        <v>150</v>
      </c>
    </row>
    <row r="77" spans="1:4" x14ac:dyDescent="0.25">
      <c r="A77" t="s">
        <v>85</v>
      </c>
      <c r="B77" t="s">
        <v>134</v>
      </c>
      <c r="C77" t="s">
        <v>135</v>
      </c>
      <c r="D77" t="s">
        <v>136</v>
      </c>
    </row>
    <row r="78" spans="1:4" x14ac:dyDescent="0.25">
      <c r="A78" t="s">
        <v>137</v>
      </c>
      <c r="B78" t="s">
        <v>151</v>
      </c>
      <c r="C78" t="s">
        <v>152</v>
      </c>
      <c r="D78" t="s">
        <v>153</v>
      </c>
    </row>
    <row r="79" spans="1:4" x14ac:dyDescent="0.25">
      <c r="A79" t="s">
        <v>141</v>
      </c>
      <c r="B79" t="s">
        <v>151</v>
      </c>
      <c r="C79" t="s">
        <v>154</v>
      </c>
      <c r="D79" t="s">
        <v>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описание калькулятора</vt:lpstr>
      <vt:lpstr>вид калькулятора</vt:lpstr>
      <vt:lpstr>тарифы Ozon без формул + лимиты</vt:lpstr>
      <vt:lpstr>тарифы с формулами EXCEL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Anna Anokhina</cp:lastModifiedBy>
  <dcterms:created xsi:type="dcterms:W3CDTF">2015-06-05T18:17:20Z</dcterms:created>
  <dcterms:modified xsi:type="dcterms:W3CDTF">2026-08-21T10:22:15Z</dcterms:modified>
</cp:coreProperties>
</file>